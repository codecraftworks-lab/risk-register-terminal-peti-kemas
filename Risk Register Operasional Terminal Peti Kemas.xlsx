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1C15B1A9-0FFF-48FA-9EE3-84F2542E22D2}" xr6:coauthVersionLast="47" xr6:coauthVersionMax="47" xr10:uidLastSave="{00000000-0000-0000-0000-000000000000}"/>
  <bookViews>
    <workbookView xWindow="-108" yWindow="-108" windowWidth="23256" windowHeight="12456" activeTab="2" xr2:uid="{50A727A6-31F8-4592-9433-3B16AFA08548}"/>
  </bookViews>
  <sheets>
    <sheet name="Source" sheetId="2" r:id="rId1"/>
    <sheet name="Risk Assessment Matrix" sheetId="3" r:id="rId2"/>
    <sheet name="Risk Summary" sheetId="4" r:id="rId3"/>
  </sheets>
  <definedNames>
    <definedName name="_xlnm.Print_Area" localSheetId="1">'Risk Assessment Matrix'!$B$2:$AC$12</definedName>
    <definedName name="Type" localSheetId="1">'Risk Assessment Matrix'!#REF!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3" l="1"/>
  <c r="W12" i="3"/>
  <c r="J3" i="3"/>
  <c r="K3" i="3" s="1"/>
  <c r="J12" i="3"/>
  <c r="K12" i="3" s="1"/>
  <c r="W11" i="3"/>
  <c r="J11" i="3"/>
  <c r="K11" i="3" s="1"/>
  <c r="W10" i="3"/>
  <c r="J10" i="3"/>
  <c r="K10" i="3" s="1"/>
  <c r="W9" i="3"/>
  <c r="J9" i="3"/>
  <c r="K9" i="3" s="1"/>
  <c r="W8" i="3"/>
  <c r="J8" i="3"/>
  <c r="K8" i="3" s="1"/>
  <c r="W7" i="3"/>
  <c r="J7" i="3"/>
  <c r="K7" i="3" s="1"/>
  <c r="W6" i="3"/>
  <c r="J6" i="3"/>
  <c r="K6" i="3" s="1"/>
  <c r="W5" i="3"/>
  <c r="J5" i="3"/>
  <c r="K5" i="3" s="1"/>
  <c r="W4" i="3"/>
  <c r="J4" i="3"/>
  <c r="K4" i="3" s="1"/>
  <c r="C7" i="4" l="1"/>
  <c r="C6" i="4"/>
  <c r="C5" i="4"/>
  <c r="C4" i="4"/>
</calcChain>
</file>

<file path=xl/sharedStrings.xml><?xml version="1.0" encoding="utf-8"?>
<sst xmlns="http://schemas.openxmlformats.org/spreadsheetml/2006/main" count="209" uniqueCount="149">
  <si>
    <t>Risk Category</t>
  </si>
  <si>
    <t>Likelihood, Impact</t>
  </si>
  <si>
    <t>Control Effectiveness</t>
  </si>
  <si>
    <t>Mitigation Status</t>
  </si>
  <si>
    <t>Status</t>
  </si>
  <si>
    <t>Dept</t>
  </si>
  <si>
    <t>Operational</t>
  </si>
  <si>
    <t>Effective</t>
  </si>
  <si>
    <t>Planned</t>
  </si>
  <si>
    <t>Open</t>
  </si>
  <si>
    <t>Procurement</t>
  </si>
  <si>
    <t>Financial</t>
  </si>
  <si>
    <t>Needs Improvement</t>
  </si>
  <si>
    <t>In Progress</t>
  </si>
  <si>
    <t>Monitoring</t>
  </si>
  <si>
    <t>Finance</t>
  </si>
  <si>
    <t>Strategic</t>
  </si>
  <si>
    <t>Ineffective</t>
  </si>
  <si>
    <t>Mitigated</t>
  </si>
  <si>
    <t>IT</t>
  </si>
  <si>
    <t>Compliance</t>
  </si>
  <si>
    <t>Closed</t>
  </si>
  <si>
    <t>Legal</t>
  </si>
  <si>
    <t>Reputational</t>
  </si>
  <si>
    <t>Governance</t>
  </si>
  <si>
    <t>Risk ID</t>
  </si>
  <si>
    <t>Department</t>
  </si>
  <si>
    <t>Process / Activity</t>
  </si>
  <si>
    <t>Risk Title</t>
  </si>
  <si>
    <t>Risk Description</t>
  </si>
  <si>
    <t>Likelihood (1–5)</t>
  </si>
  <si>
    <t>Impact (1–5)</t>
  </si>
  <si>
    <t>Risk Score</t>
  </si>
  <si>
    <t>Risk Level</t>
  </si>
  <si>
    <t>Risk Drivers / Root Cause</t>
  </si>
  <si>
    <t>Potential Business Consequences</t>
  </si>
  <si>
    <t>Existing Controls</t>
  </si>
  <si>
    <t>Mitigation Actions</t>
  </si>
  <si>
    <t>Action Owner</t>
  </si>
  <si>
    <t>Target Completion Date</t>
  </si>
  <si>
    <t>Residual Likelihood</t>
  </si>
  <si>
    <t>Residual Impact</t>
  </si>
  <si>
    <t>Residual Risk Score</t>
  </si>
  <si>
    <t>R-01</t>
  </si>
  <si>
    <t>R-02</t>
  </si>
  <si>
    <t>SOP vendor tidak lengkap</t>
  </si>
  <si>
    <t>Risiko reputasi &amp; fraud</t>
  </si>
  <si>
    <t>Approval informal</t>
  </si>
  <si>
    <t>R-03</t>
  </si>
  <si>
    <t>Ketergantungan vendor tunggal</t>
  </si>
  <si>
    <t>Satu vendor dominan tanpa alternatif</t>
  </si>
  <si>
    <t>Tidak ada vendor diversification plan</t>
  </si>
  <si>
    <t>Risiko gangguan supply</t>
  </si>
  <si>
    <t>Evaluasi tahunan vendor</t>
  </si>
  <si>
    <t>Tambah vendor alternatif</t>
  </si>
  <si>
    <t>R-04</t>
  </si>
  <si>
    <t>R-05</t>
  </si>
  <si>
    <t>Documentation</t>
  </si>
  <si>
    <t>R-06</t>
  </si>
  <si>
    <t>Tidak ada kontrak register</t>
  </si>
  <si>
    <t>R-07</t>
  </si>
  <si>
    <t>System Acccess</t>
  </si>
  <si>
    <t>Akun digunakan lebih dari satu user</t>
  </si>
  <si>
    <t>Kontrol akses lemah</t>
  </si>
  <si>
    <t>Risiko manipulasi data</t>
  </si>
  <si>
    <t>Password sharing policy</t>
  </si>
  <si>
    <t>Akun individual &amp; role-based access</t>
  </si>
  <si>
    <t>R-08</t>
  </si>
  <si>
    <t>Konflik kepentingan</t>
  </si>
  <si>
    <t>Approval tanpa deklarasi COI</t>
  </si>
  <si>
    <t>Tidak ada deklarasi COI</t>
  </si>
  <si>
    <t>Etika kerja informal</t>
  </si>
  <si>
    <t>Form deklarasi COI</t>
  </si>
  <si>
    <t>R-09</t>
  </si>
  <si>
    <t>Monitoring lemah</t>
  </si>
  <si>
    <t>Tidak ada tracker resmi</t>
  </si>
  <si>
    <t>Temuan berulang</t>
  </si>
  <si>
    <t>Laporan manual</t>
  </si>
  <si>
    <t>Audit follow-up log terpusat</t>
  </si>
  <si>
    <t>R-10</t>
  </si>
  <si>
    <t>Risk Summary</t>
  </si>
  <si>
    <t>Low</t>
  </si>
  <si>
    <t>Medium</t>
  </si>
  <si>
    <t>High</t>
  </si>
  <si>
    <t>Kontrak jasa bongkar muat kadaluarsa</t>
  </si>
  <si>
    <t>Kontrak jasa handling tidak dimonitor masa berlakunya sehingga layanan tetap berjalan tanpa dasar kontraktual</t>
  </si>
  <si>
    <t>Tidak adanya contract register dan reminder masa berlaku kontrak</t>
  </si>
  <si>
    <t>Risiko hukum, sanksi regulator, klaim vendor</t>
  </si>
  <si>
    <t>Review kontrak manual oleh staf legal</t>
  </si>
  <si>
    <t>Vendor pendukung operasional belum melalui proses verifikasi dan evaluasi kinerja secara formal.</t>
  </si>
  <si>
    <t>Risiko kecelakaan kerja, fraud, gangguan operasional</t>
  </si>
  <si>
    <t>Implementasi checklist verifikasi dan evaluasi vendor</t>
  </si>
  <si>
    <t>Vessel Handling &amp; Stevedoring</t>
  </si>
  <si>
    <t>Keterlambatan proses bongkar muat</t>
  </si>
  <si>
    <t>Proses bongkar muat melebihi SLA dan mengganggu jadwal kapal berikutnya.</t>
  </si>
  <si>
    <t>Penalti, penurunan kepuasan pelanggan</t>
  </si>
  <si>
    <t>Quality Assurance, SMO &amp; OHSE</t>
  </si>
  <si>
    <t>Operational Performance Planning &amp; Reporting</t>
  </si>
  <si>
    <t>Terminal Operations Support</t>
  </si>
  <si>
    <t>Terminal Operations</t>
  </si>
  <si>
    <t>Risk Management &amp; Compliance</t>
  </si>
  <si>
    <t>Terminal Operations Planning &amp; Control</t>
  </si>
  <si>
    <t>Pengelolaan Kontrak Jasa Operasional</t>
  </si>
  <si>
    <t>Penyusunan contract register dan reminder masa berlaku kontrak</t>
  </si>
  <si>
    <t>Perencanaan dan Ketersediaan Vendor</t>
  </si>
  <si>
    <t>Perencanaan kerja dan alokasi sumber daya kurang optimal</t>
  </si>
  <si>
    <t>Rapat koordinasi operasional harian</t>
  </si>
  <si>
    <t>Monitoring kinerja bongkar muat melalui dashboard operasional</t>
  </si>
  <si>
    <t>Dokumen operasional tidak lengkap</t>
  </si>
  <si>
    <t>Dokumen pendukung tidak tersedia lengkap saat sandar sehingga menghambat proses operasional.</t>
  </si>
  <si>
    <t>Koordinasi antar pihak belum optimal</t>
  </si>
  <si>
    <t>Penundaan layanan dan potensi sanksi</t>
  </si>
  <si>
    <t>Checklist dokumen manual</t>
  </si>
  <si>
    <t>Standardisasi dan verifikasi awal dokumen kapal</t>
  </si>
  <si>
    <t>Review dan Kepatuhan SOP Operasional</t>
  </si>
  <si>
    <t>SOP operasional tidak diperbarui</t>
  </si>
  <si>
    <t>SOP operasional dan keselamatan kerja tidak direview secara berkala sesuai kondisi lapangan terkini.</t>
  </si>
  <si>
    <t>Tidak adanya jadwal review SOP yang terstruktur</t>
  </si>
  <si>
    <t>Sosialisasi SOP eksisting</t>
  </si>
  <si>
    <t>Penetapan jadwal review SOP tahunan</t>
  </si>
  <si>
    <t>Akses sistem operasi terminal tidak terkontrol</t>
  </si>
  <si>
    <t>Penjadwalan Kapal dan Yard</t>
  </si>
  <si>
    <t>Risiko operasional yang telah diidentifikasi tidak dimonitor dan ditindaklanjuti secara sistematis.</t>
  </si>
  <si>
    <t>Monitoring dan Tindak Lanjut Risiko</t>
  </si>
  <si>
    <t>Pendaftaran dan Evaluasi Vendor</t>
  </si>
  <si>
    <t>Vendor operasional tidak terverifikasi</t>
  </si>
  <si>
    <t>Terminal Operation Supervisor</t>
  </si>
  <si>
    <t>QA, SMO, Safety &amp; Compliance Officer</t>
  </si>
  <si>
    <t>IT System Administrator</t>
  </si>
  <si>
    <t>Risk Management Officer</t>
  </si>
  <si>
    <t>Operation Reporting Officer</t>
  </si>
  <si>
    <t>Penyusunan Laporan Operasional Rutin</t>
  </si>
  <si>
    <t>Keterlambatan minor penyampaian laporan operasional internal</t>
  </si>
  <si>
    <t>Penyampaian laporan operasional harian atau mingguan mengalami keterlambatan kecil tanpa mempengaruhi pengambilan keputusan utama manajemen.</t>
  </si>
  <si>
    <t>Ketergantungan pada input data manual</t>
  </si>
  <si>
    <t>Sedikit keterlambatan informasi internal</t>
  </si>
  <si>
    <t>Template laporan standar, Jadwal pelaporan rutin</t>
  </si>
  <si>
    <t>Pengingat jadwal pelaporan &amp; Review ringan oleh atasan langsung</t>
  </si>
  <si>
    <t>Extreme</t>
  </si>
  <si>
    <t>Score Range</t>
  </si>
  <si>
    <t>1-4</t>
  </si>
  <si>
    <t>5-9</t>
  </si>
  <si>
    <t>10-14</t>
  </si>
  <si>
    <t>15-25</t>
  </si>
  <si>
    <t>Contract Administration Officer</t>
  </si>
  <si>
    <t>Vendor Management Officer</t>
  </si>
  <si>
    <t>Terminal Equipment Maintenance Supervisor</t>
  </si>
  <si>
    <t>Vessel &amp; Cargo Documentation Officer</t>
  </si>
  <si>
    <t>Operation Planning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</si>
</sst>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 tint="0.249977111117893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sz val="12"/>
      <color theme="1"/>
      <name val="Century Gothic"/>
      <family val="1"/>
    </font>
    <font>
      <sz val="12"/>
      <color theme="1"/>
      <name val="Century Gothic"/>
      <family val="2"/>
    </font>
    <font>
      <b/>
      <sz val="12"/>
      <color theme="1"/>
      <name val="Century Gothic"/>
      <family val="1"/>
    </font>
    <font>
      <b/>
      <sz val="16"/>
      <color theme="1"/>
      <name val="Century Gothic"/>
      <family val="1"/>
    </font>
    <font>
      <sz val="11"/>
      <color theme="1" tint="0.249977111117893"/>
      <name val="Century Gothic"/>
      <family val="1"/>
    </font>
    <font>
      <b/>
      <sz val="11"/>
      <color theme="1"/>
      <name val="Century Gothic"/>
      <family val="1"/>
    </font>
    <font>
      <b/>
      <sz val="10"/>
      <color theme="1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  <xf numFmtId="0" fontId="2" fillId="0" borderId="0" xfId="0" applyFont="1" applyAlignment="1">
      <alignment wrapText="1"/>
    </xf>
    <xf numFmtId="0" fontId="7" fillId="0" borderId="4" xfId="0" applyFont="1" applyBorder="1" applyAlignment="1">
      <alignment horizontal="left" vertical="center"/>
    </xf>
    <xf numFmtId="0" fontId="0" fillId="0" borderId="4" xfId="0" applyBorder="1"/>
    <xf numFmtId="0" fontId="8" fillId="4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 indent="1"/>
    </xf>
    <xf numFmtId="14" fontId="5" fillId="0" borderId="6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10" fillId="3" borderId="5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10" fillId="3" borderId="2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10" fillId="3" borderId="7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10" fillId="3" borderId="2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1" fontId="0" fillId="0" borderId="0" xfId="0" applyNumberFormat="1"/>
    <xf numFmtId="1" fontId="10" fillId="3" borderId="2" xfId="0" applyNumberFormat="1" applyFont="1" applyFill="1" applyBorder="1" applyAlignment="1">
      <alignment horizontal="center" vertical="center" wrapText="1"/>
    </xf>
    <xf numFmtId="1" fontId="10" fillId="3" borderId="3" xfId="0" applyNumberFormat="1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wrapText="1"/>
    </xf>
    <xf numFmtId="1" fontId="10" fillId="3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color theme="1"/>
      </font>
      <fill>
        <patternFill>
          <bgColor rgb="FFFE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299722</xdr:colOff>
      <xdr:row>1</xdr:row>
      <xdr:rowOff>78740</xdr:rowOff>
    </xdr:from>
    <xdr:to>
      <xdr:col>31</xdr:col>
      <xdr:colOff>538480</xdr:colOff>
      <xdr:row>9</xdr:row>
      <xdr:rowOff>111760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4A651-60E9-4409-9BD0-BB094DAE5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02" y="261620"/>
          <a:ext cx="4079238" cy="5346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E2864-B3D7-4A9A-804B-11DB4A6F6D0C}" name="Table1" displayName="Table1" ref="B2:W12" totalsRowShown="0" headerRowDxfId="28" dataDxfId="27" tableBorderDxfId="26">
  <autoFilter ref="B2:W12" xr:uid="{A29630F3-FB7B-4B35-8B64-4BCED97D36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A8B52ACF-BF22-40C4-B2D7-6425150640EE}" name="Risk ID" dataDxfId="25"/>
    <tableColumn id="2" xr3:uid="{8841B275-00ED-4B3E-B919-9AFD4E4EAE79}" name="Department" dataDxfId="24"/>
    <tableColumn id="3" xr3:uid="{7F542D70-EE95-455A-BFAC-24E324B15E1B}" name="Process / Activity" dataDxfId="23"/>
    <tableColumn id="4" xr3:uid="{DB5BBE0C-D193-459F-BF80-84EC8081DEBD}" name="Risk Title" dataDxfId="22"/>
    <tableColumn id="5" xr3:uid="{00C98F22-CDE7-4FBA-BF86-C3989CFF8A4C}" name="Risk Description" dataDxfId="21"/>
    <tableColumn id="6" xr3:uid="{14F32743-8FD9-4208-826A-D287C6EDA470}" name="Risk Category" dataDxfId="20"/>
    <tableColumn id="7" xr3:uid="{8EDF31F9-E3E9-43BE-86A7-5DC61D5860CA}" name="Likelihood (1–5)" dataDxfId="19"/>
    <tableColumn id="8" xr3:uid="{E3953A16-AB3A-43E5-AEDA-7D6031164546}" name="Impact (1–5)" dataDxfId="18"/>
    <tableColumn id="9" xr3:uid="{1ABDCA0F-973C-44B2-9838-001EEB0215C1}" name="Risk Score" dataDxfId="17">
      <calculatedColumnFormula>IF(OR(Table1[[#This Row],[Likelihood (1–5)]]="",Table1[[#This Row],[Impact (1–5)]]=""),"",Table1[[#This Row],[Likelihood (1–5)]]*Table1[[#This Row],[Impact (1–5)]])</calculatedColumnFormula>
    </tableColumn>
    <tableColumn id="10" xr3:uid="{784EAB06-B2DA-416C-A4BF-647576F6ED8D}" name="Risk Level" dataDxfId="16">
      <calculatedColumnFormula>IF(OR(Table1[[#This Row],[Likelihood (1–5)]]="",Table1[[#This Row],[Impact (1–5)]]=""),"",IF(Table1[[#This Row],[Risk Score]]&lt;=4,"Low",IF(Table1[[#This Row],[Risk Score]]&lt;=9,"Medium",IF(Table1[[#This Row],[Risk Score]]&lt;=14,"High","Extreme"))))</calculatedColumnFormula>
    </tableColumn>
    <tableColumn id="11" xr3:uid="{319FEE90-143A-4D7A-8941-9460833EE994}" name="Risk Drivers / Root Cause" dataDxfId="15"/>
    <tableColumn id="12" xr3:uid="{F8ABE590-387C-44D0-A25F-815E1FD45F9C}" name="Potential Business Consequences" dataDxfId="14"/>
    <tableColumn id="13" xr3:uid="{8482BE20-C9A8-4715-9EAE-15A517076CC7}" name="Existing Controls" dataDxfId="13"/>
    <tableColumn id="14" xr3:uid="{DD894552-50BE-40DC-B006-66B05B65C357}" name="Control Effectiveness" dataDxfId="12"/>
    <tableColumn id="15" xr3:uid="{EF9137C2-8317-421B-9CBD-3C80801A9BA1}" name="Mitigation Actions" dataDxfId="11"/>
    <tableColumn id="22" xr3:uid="{F8C0D6BD-B2BD-4735-8D9F-6F63AA2AF69E}" name="Mitigation Status" dataDxfId="10"/>
    <tableColumn id="16" xr3:uid="{B3C478BF-171B-4854-978E-0644B14EEE65}" name="Action Owner" dataDxfId="9"/>
    <tableColumn id="17" xr3:uid="{BEAFC49C-CD26-47D3-AC7B-AE374B839DB3}" name="Target Completion Date" dataDxfId="8"/>
    <tableColumn id="18" xr3:uid="{FB2EB875-04A5-4D9A-99B3-54B458C30C48}" name="Status" dataDxfId="7"/>
    <tableColumn id="19" xr3:uid="{3651F2B6-9F0F-481F-9776-AD98D2984E32}" name="Residual Likelihood" dataDxfId="6"/>
    <tableColumn id="20" xr3:uid="{5CEAD666-2380-4CA1-9D05-F1062E5FE0A7}" name="Residual Impact" dataDxfId="5"/>
    <tableColumn id="21" xr3:uid="{4AAD9157-C070-46B3-8AEB-75B71AFEFED9}" name="Residual Risk Score" dataDxfId="4">
      <calculatedColumnFormula>IF(OR(Table1[[#This Row],[Residual Likelihood]]="",Table1[[#This Row],[Residual Impact]]=""),"",Table1[[#This Row],[Residual Likelihood]]*Table1[[#This Row],[Residual Impact]])</calculatedColumnFormula>
    </tableColumn>
  </tableColumns>
  <tableStyleInfo name="TableStyleMedium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D7F7-43C0-4015-A1A0-3E3E3AE58A1D}">
  <dimension ref="B1:O12"/>
  <sheetViews>
    <sheetView showGridLines="0" zoomScale="90" zoomScaleNormal="90" workbookViewId="0">
      <selection activeCell="B19" sqref="B19"/>
    </sheetView>
  </sheetViews>
  <sheetFormatPr defaultColWidth="11.5546875" defaultRowHeight="14.4" x14ac:dyDescent="0.3"/>
  <cols>
    <col min="1" max="1" width="3.33203125" customWidth="1"/>
    <col min="2" max="2" width="51.5546875" bestFit="1" customWidth="1"/>
    <col min="3" max="3" width="3.33203125" customWidth="1"/>
    <col min="4" max="4" width="15.88671875" bestFit="1" customWidth="1"/>
    <col min="5" max="5" width="3.77734375" customWidth="1"/>
    <col min="6" max="6" width="12.33203125" bestFit="1" customWidth="1"/>
    <col min="7" max="7" width="2.33203125" customWidth="1"/>
    <col min="8" max="8" width="15.5546875" bestFit="1" customWidth="1"/>
    <col min="9" max="9" width="12.109375" bestFit="1" customWidth="1"/>
    <col min="10" max="10" width="2.33203125" customWidth="1"/>
    <col min="11" max="11" width="23.33203125" bestFit="1" customWidth="1"/>
    <col min="12" max="12" width="2.109375" customWidth="1"/>
    <col min="13" max="13" width="20.21875" bestFit="1" customWidth="1"/>
    <col min="14" max="14" width="2.44140625" customWidth="1"/>
    <col min="15" max="15" width="12.6640625" bestFit="1" customWidth="1"/>
    <col min="16" max="16" width="4.33203125" customWidth="1"/>
    <col min="17" max="17" width="51.5546875" bestFit="1" customWidth="1"/>
    <col min="18" max="18" width="5.21875" customWidth="1"/>
    <col min="19" max="19" width="15.5546875" bestFit="1" customWidth="1"/>
    <col min="20" max="20" width="12.109375" bestFit="1" customWidth="1"/>
  </cols>
  <sheetData>
    <row r="1" spans="2:15" ht="24" x14ac:dyDescent="0.3">
      <c r="D1" s="1"/>
    </row>
    <row r="2" spans="2:15" ht="30" customHeight="1" x14ac:dyDescent="0.3">
      <c r="B2" s="2" t="s">
        <v>5</v>
      </c>
      <c r="D2" s="2" t="s">
        <v>0</v>
      </c>
      <c r="F2" s="3" t="s">
        <v>1</v>
      </c>
      <c r="H2" s="2" t="s">
        <v>139</v>
      </c>
      <c r="I2" s="2" t="s">
        <v>33</v>
      </c>
      <c r="K2" s="2" t="s">
        <v>2</v>
      </c>
      <c r="M2" s="2" t="s">
        <v>3</v>
      </c>
      <c r="O2" s="2" t="s">
        <v>4</v>
      </c>
    </row>
    <row r="3" spans="2:15" ht="19.95" customHeight="1" x14ac:dyDescent="0.3">
      <c r="B3" s="4" t="s">
        <v>10</v>
      </c>
      <c r="D3" s="4" t="s">
        <v>6</v>
      </c>
      <c r="F3" s="4">
        <v>1</v>
      </c>
      <c r="H3" s="4" t="s">
        <v>140</v>
      </c>
      <c r="I3" s="4" t="s">
        <v>81</v>
      </c>
      <c r="K3" s="4" t="s">
        <v>7</v>
      </c>
      <c r="M3" s="4" t="s">
        <v>8</v>
      </c>
      <c r="O3" s="4" t="s">
        <v>9</v>
      </c>
    </row>
    <row r="4" spans="2:15" ht="19.95" customHeight="1" x14ac:dyDescent="0.3">
      <c r="B4" s="4" t="s">
        <v>15</v>
      </c>
      <c r="D4" s="4" t="s">
        <v>11</v>
      </c>
      <c r="F4" s="4">
        <v>2</v>
      </c>
      <c r="H4" s="4" t="s">
        <v>141</v>
      </c>
      <c r="I4" s="4" t="s">
        <v>82</v>
      </c>
      <c r="K4" s="4" t="s">
        <v>12</v>
      </c>
      <c r="M4" s="4" t="s">
        <v>13</v>
      </c>
      <c r="O4" s="4" t="s">
        <v>14</v>
      </c>
    </row>
    <row r="5" spans="2:15" ht="19.95" customHeight="1" x14ac:dyDescent="0.3">
      <c r="B5" s="4" t="s">
        <v>19</v>
      </c>
      <c r="D5" s="4" t="s">
        <v>16</v>
      </c>
      <c r="F5" s="4">
        <v>3</v>
      </c>
      <c r="H5" s="4" t="s">
        <v>142</v>
      </c>
      <c r="I5" s="4" t="s">
        <v>83</v>
      </c>
      <c r="K5" s="4" t="s">
        <v>17</v>
      </c>
      <c r="O5" s="4" t="s">
        <v>18</v>
      </c>
    </row>
    <row r="6" spans="2:15" ht="19.95" customHeight="1" x14ac:dyDescent="0.3">
      <c r="B6" s="4" t="s">
        <v>22</v>
      </c>
      <c r="D6" s="4" t="s">
        <v>20</v>
      </c>
      <c r="F6" s="4">
        <v>4</v>
      </c>
      <c r="H6" s="4" t="s">
        <v>143</v>
      </c>
      <c r="I6" s="4" t="s">
        <v>138</v>
      </c>
      <c r="O6" s="4" t="s">
        <v>21</v>
      </c>
    </row>
    <row r="7" spans="2:15" ht="19.95" customHeight="1" x14ac:dyDescent="0.3">
      <c r="B7" s="4" t="s">
        <v>100</v>
      </c>
      <c r="D7" s="4" t="s">
        <v>23</v>
      </c>
      <c r="F7" s="4">
        <v>5</v>
      </c>
    </row>
    <row r="8" spans="2:15" ht="19.95" customHeight="1" x14ac:dyDescent="0.3">
      <c r="B8" s="4" t="s">
        <v>99</v>
      </c>
      <c r="D8" s="4" t="s">
        <v>19</v>
      </c>
    </row>
    <row r="9" spans="2:15" ht="19.95" customHeight="1" x14ac:dyDescent="0.3">
      <c r="B9" s="4" t="s">
        <v>98</v>
      </c>
      <c r="D9" s="4" t="s">
        <v>24</v>
      </c>
    </row>
    <row r="10" spans="2:15" x14ac:dyDescent="0.3">
      <c r="B10" s="4" t="s">
        <v>96</v>
      </c>
    </row>
    <row r="11" spans="2:15" x14ac:dyDescent="0.3">
      <c r="B11" s="4" t="s">
        <v>97</v>
      </c>
    </row>
    <row r="12" spans="2:15" x14ac:dyDescent="0.3">
      <c r="B12" s="4" t="s">
        <v>101</v>
      </c>
    </row>
  </sheetData>
  <pageMargins left="0.7" right="0.7" top="0.75" bottom="0.75" header="0.3" footer="0.3"/>
  <pageSetup paperSize="3" orientation="landscape" r:id="rId1"/>
  <ignoredErrors>
    <ignoredError sqref="H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410A-04F7-45E5-B50C-D4C9BDF0DE16}">
  <sheetPr>
    <tabColor theme="0" tint="-4.9989318521683403E-2"/>
  </sheetPr>
  <dimension ref="B1:W12"/>
  <sheetViews>
    <sheetView showGridLines="0" topLeftCell="O1" zoomScale="75" zoomScaleNormal="75" workbookViewId="0">
      <selection activeCell="X1" sqref="X1:X1048576"/>
    </sheetView>
  </sheetViews>
  <sheetFormatPr defaultColWidth="8.77734375" defaultRowHeight="13.8" x14ac:dyDescent="0.25"/>
  <cols>
    <col min="1" max="1" width="3.33203125" style="5" customWidth="1"/>
    <col min="2" max="2" width="7.33203125" style="17" bestFit="1" customWidth="1"/>
    <col min="3" max="4" width="21.33203125" style="17" bestFit="1" customWidth="1"/>
    <col min="5" max="5" width="27.109375" style="17" bestFit="1" customWidth="1"/>
    <col min="6" max="6" width="53.33203125" style="17" bestFit="1" customWidth="1"/>
    <col min="7" max="7" width="15.33203125" style="17" bestFit="1" customWidth="1"/>
    <col min="8" max="8" width="18.33203125" style="30" customWidth="1"/>
    <col min="9" max="9" width="13.5546875" style="30" customWidth="1"/>
    <col min="10" max="10" width="13" style="30" customWidth="1"/>
    <col min="11" max="11" width="16.5546875" style="17" customWidth="1"/>
    <col min="12" max="12" width="25.44140625" style="17" customWidth="1"/>
    <col min="13" max="13" width="34" style="17" customWidth="1"/>
    <col min="14" max="14" width="17.88671875" style="17" bestFit="1" customWidth="1"/>
    <col min="15" max="15" width="25.77734375" style="17" customWidth="1"/>
    <col min="16" max="16" width="21.33203125" style="17" bestFit="1" customWidth="1"/>
    <col min="17" max="17" width="18" style="17" customWidth="1"/>
    <col min="18" max="18" width="21.88671875" style="17" bestFit="1" customWidth="1"/>
    <col min="19" max="19" width="26.33203125" style="24" customWidth="1"/>
    <col min="20" max="20" width="12.6640625" style="17" bestFit="1" customWidth="1"/>
    <col min="21" max="21" width="22.5546875" style="30" customWidth="1"/>
    <col min="22" max="22" width="23.44140625" style="30" customWidth="1"/>
    <col min="23" max="23" width="26.77734375" style="30" customWidth="1"/>
    <col min="24" max="30" width="8.77734375" style="5"/>
    <col min="31" max="31" width="3.5546875" style="5" customWidth="1"/>
    <col min="32" max="16384" width="8.77734375" style="5"/>
  </cols>
  <sheetData>
    <row r="1" spans="2:23" customFormat="1" ht="14.4" x14ac:dyDescent="0.3">
      <c r="B1" s="14"/>
      <c r="C1" s="14"/>
      <c r="D1" s="14"/>
      <c r="E1" s="14"/>
      <c r="F1" s="14"/>
      <c r="G1" s="14"/>
      <c r="H1" s="25"/>
      <c r="I1" s="25"/>
      <c r="J1" s="25"/>
      <c r="K1" s="14"/>
      <c r="L1" s="14"/>
      <c r="M1" s="14"/>
      <c r="N1" s="14"/>
      <c r="O1" s="14"/>
      <c r="P1" s="14"/>
      <c r="Q1" s="14"/>
      <c r="R1" s="14"/>
      <c r="S1" s="22"/>
      <c r="T1" s="14"/>
      <c r="U1" s="25"/>
      <c r="V1" s="25"/>
      <c r="W1" s="25"/>
    </row>
    <row r="2" spans="2:23" x14ac:dyDescent="0.25">
      <c r="B2" s="15" t="s">
        <v>25</v>
      </c>
      <c r="C2" s="18" t="s">
        <v>26</v>
      </c>
      <c r="D2" s="18" t="s">
        <v>27</v>
      </c>
      <c r="E2" s="18" t="s">
        <v>28</v>
      </c>
      <c r="F2" s="18" t="s">
        <v>29</v>
      </c>
      <c r="G2" s="21" t="s">
        <v>0</v>
      </c>
      <c r="H2" s="31" t="s">
        <v>30</v>
      </c>
      <c r="I2" s="26" t="s">
        <v>31</v>
      </c>
      <c r="J2" s="26" t="s">
        <v>32</v>
      </c>
      <c r="K2" s="18" t="s">
        <v>33</v>
      </c>
      <c r="L2" s="18" t="s">
        <v>34</v>
      </c>
      <c r="M2" s="18" t="s">
        <v>35</v>
      </c>
      <c r="N2" s="18" t="s">
        <v>36</v>
      </c>
      <c r="O2" s="18" t="s">
        <v>2</v>
      </c>
      <c r="P2" s="18" t="s">
        <v>37</v>
      </c>
      <c r="Q2" s="18" t="s">
        <v>3</v>
      </c>
      <c r="R2" s="18" t="s">
        <v>38</v>
      </c>
      <c r="S2" s="23" t="s">
        <v>39</v>
      </c>
      <c r="T2" s="18" t="s">
        <v>4</v>
      </c>
      <c r="U2" s="26" t="s">
        <v>40</v>
      </c>
      <c r="V2" s="26" t="s">
        <v>41</v>
      </c>
      <c r="W2" s="27" t="s">
        <v>42</v>
      </c>
    </row>
    <row r="3" spans="2:23" ht="75" x14ac:dyDescent="0.25">
      <c r="B3" s="16" t="s">
        <v>43</v>
      </c>
      <c r="C3" s="16" t="s">
        <v>22</v>
      </c>
      <c r="D3" s="19" t="s">
        <v>102</v>
      </c>
      <c r="E3" s="20" t="s">
        <v>84</v>
      </c>
      <c r="F3" s="20" t="s">
        <v>85</v>
      </c>
      <c r="G3" s="16" t="s">
        <v>20</v>
      </c>
      <c r="H3" s="28">
        <v>4</v>
      </c>
      <c r="I3" s="28">
        <v>5</v>
      </c>
      <c r="J3" s="29">
        <f>IF(OR(Table1[[#This Row],[Likelihood (1–5)]]="",Table1[[#This Row],[Impact (1–5)]]=""),"",Table1[[#This Row],[Likelihood (1–5)]]*Table1[[#This Row],[Impact (1–5)]])</f>
        <v>20</v>
      </c>
      <c r="K3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Extreme</v>
      </c>
      <c r="L3" s="19" t="s">
        <v>86</v>
      </c>
      <c r="M3" s="19" t="s">
        <v>87</v>
      </c>
      <c r="N3" s="19" t="s">
        <v>88</v>
      </c>
      <c r="O3" s="16" t="s">
        <v>17</v>
      </c>
      <c r="P3" s="19" t="s">
        <v>103</v>
      </c>
      <c r="Q3" s="16" t="s">
        <v>13</v>
      </c>
      <c r="R3" s="16" t="s">
        <v>144</v>
      </c>
      <c r="S3" s="13">
        <v>45672</v>
      </c>
      <c r="T3" s="16" t="s">
        <v>21</v>
      </c>
      <c r="U3" s="28">
        <v>2</v>
      </c>
      <c r="V3" s="28">
        <v>4</v>
      </c>
      <c r="W3" s="29">
        <f>IF(OR(Table1[[#This Row],[Residual Likelihood]]="",Table1[[#This Row],[Residual Impact]]=""),"",Table1[[#This Row],[Residual Likelihood]]*Table1[[#This Row],[Residual Impact]])</f>
        <v>8</v>
      </c>
    </row>
    <row r="4" spans="2:23" ht="60" x14ac:dyDescent="0.25">
      <c r="B4" s="16" t="s">
        <v>44</v>
      </c>
      <c r="C4" s="16" t="s">
        <v>10</v>
      </c>
      <c r="D4" s="19" t="s">
        <v>124</v>
      </c>
      <c r="E4" s="20" t="s">
        <v>125</v>
      </c>
      <c r="F4" s="20" t="s">
        <v>89</v>
      </c>
      <c r="G4" s="16" t="s">
        <v>6</v>
      </c>
      <c r="H4" s="28">
        <v>4</v>
      </c>
      <c r="I4" s="28">
        <v>4</v>
      </c>
      <c r="J4" s="29">
        <f>IF(OR(Table1[[#This Row],[Likelihood (1–5)]]="",Table1[[#This Row],[Impact (1–5)]]=""),"",Table1[[#This Row],[Likelihood (1–5)]]*Table1[[#This Row],[Impact (1–5)]])</f>
        <v>16</v>
      </c>
      <c r="K4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Extreme</v>
      </c>
      <c r="L4" s="19" t="s">
        <v>45</v>
      </c>
      <c r="M4" s="19" t="s">
        <v>90</v>
      </c>
      <c r="N4" s="19" t="s">
        <v>47</v>
      </c>
      <c r="O4" s="16" t="s">
        <v>12</v>
      </c>
      <c r="P4" s="19" t="s">
        <v>91</v>
      </c>
      <c r="Q4" s="16" t="s">
        <v>13</v>
      </c>
      <c r="R4" s="16" t="s">
        <v>145</v>
      </c>
      <c r="S4" s="13">
        <v>45677</v>
      </c>
      <c r="T4" s="16" t="s">
        <v>14</v>
      </c>
      <c r="U4" s="28">
        <v>2</v>
      </c>
      <c r="V4" s="28">
        <v>3</v>
      </c>
      <c r="W4" s="29">
        <f>IF(OR(Table1[[#This Row],[Residual Likelihood]]="",Table1[[#This Row],[Residual Impact]]=""),"",Table1[[#This Row],[Residual Likelihood]]*Table1[[#This Row],[Residual Impact]])</f>
        <v>6</v>
      </c>
    </row>
    <row r="5" spans="2:23" ht="60" x14ac:dyDescent="0.25">
      <c r="B5" s="16" t="s">
        <v>48</v>
      </c>
      <c r="C5" s="16" t="s">
        <v>10</v>
      </c>
      <c r="D5" s="19" t="s">
        <v>104</v>
      </c>
      <c r="E5" s="20" t="s">
        <v>49</v>
      </c>
      <c r="F5" s="20" t="s">
        <v>50</v>
      </c>
      <c r="G5" s="16" t="s">
        <v>6</v>
      </c>
      <c r="H5" s="28">
        <v>3</v>
      </c>
      <c r="I5" s="28">
        <v>4</v>
      </c>
      <c r="J5" s="29">
        <f>IF(OR(Table1[[#This Row],[Likelihood (1–5)]]="",Table1[[#This Row],[Impact (1–5)]]=""),"",Table1[[#This Row],[Likelihood (1–5)]]*Table1[[#This Row],[Impact (1–5)]])</f>
        <v>12</v>
      </c>
      <c r="K5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High</v>
      </c>
      <c r="L5" s="19" t="s">
        <v>51</v>
      </c>
      <c r="M5" s="19" t="s">
        <v>52</v>
      </c>
      <c r="N5" s="19" t="s">
        <v>53</v>
      </c>
      <c r="O5" s="16" t="s">
        <v>12</v>
      </c>
      <c r="P5" s="19" t="s">
        <v>54</v>
      </c>
      <c r="Q5" s="16" t="s">
        <v>8</v>
      </c>
      <c r="R5" s="16" t="s">
        <v>146</v>
      </c>
      <c r="S5" s="13">
        <v>45684</v>
      </c>
      <c r="T5" s="16" t="s">
        <v>18</v>
      </c>
      <c r="U5" s="28">
        <v>2</v>
      </c>
      <c r="V5" s="28">
        <v>3</v>
      </c>
      <c r="W5" s="29">
        <f>IF(OR(Table1[[#This Row],[Residual Likelihood]]="",Table1[[#This Row],[Residual Impact]]=""),"",Table1[[#This Row],[Residual Likelihood]]*Table1[[#This Row],[Residual Impact]])</f>
        <v>6</v>
      </c>
    </row>
    <row r="6" spans="2:23" ht="75" x14ac:dyDescent="0.25">
      <c r="B6" s="16" t="s">
        <v>55</v>
      </c>
      <c r="C6" s="16" t="s">
        <v>99</v>
      </c>
      <c r="D6" s="19" t="s">
        <v>92</v>
      </c>
      <c r="E6" s="20" t="s">
        <v>93</v>
      </c>
      <c r="F6" s="20" t="s">
        <v>94</v>
      </c>
      <c r="G6" s="16" t="s">
        <v>16</v>
      </c>
      <c r="H6" s="28">
        <v>3</v>
      </c>
      <c r="I6" s="28">
        <v>4</v>
      </c>
      <c r="J6" s="29">
        <f>IF(OR(Table1[[#This Row],[Likelihood (1–5)]]="",Table1[[#This Row],[Impact (1–5)]]=""),"",Table1[[#This Row],[Likelihood (1–5)]]*Table1[[#This Row],[Impact (1–5)]])</f>
        <v>12</v>
      </c>
      <c r="K6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High</v>
      </c>
      <c r="L6" s="19" t="s">
        <v>105</v>
      </c>
      <c r="M6" s="19" t="s">
        <v>95</v>
      </c>
      <c r="N6" s="19" t="s">
        <v>106</v>
      </c>
      <c r="O6" s="16" t="s">
        <v>12</v>
      </c>
      <c r="P6" s="19" t="s">
        <v>107</v>
      </c>
      <c r="Q6" s="16" t="s">
        <v>8</v>
      </c>
      <c r="R6" s="16" t="s">
        <v>126</v>
      </c>
      <c r="S6" s="13">
        <v>45689</v>
      </c>
      <c r="T6" s="16" t="s">
        <v>18</v>
      </c>
      <c r="U6" s="28">
        <v>2</v>
      </c>
      <c r="V6" s="28">
        <v>3</v>
      </c>
      <c r="W6" s="29">
        <f>IF(OR(Table1[[#This Row],[Residual Likelihood]]="",Table1[[#This Row],[Residual Impact]]=""),"",Table1[[#This Row],[Residual Likelihood]]*Table1[[#This Row],[Residual Impact]])</f>
        <v>6</v>
      </c>
    </row>
    <row r="7" spans="2:23" ht="45" x14ac:dyDescent="0.25">
      <c r="B7" s="16" t="s">
        <v>56</v>
      </c>
      <c r="C7" s="16" t="s">
        <v>98</v>
      </c>
      <c r="D7" s="19" t="s">
        <v>57</v>
      </c>
      <c r="E7" s="20" t="s">
        <v>108</v>
      </c>
      <c r="F7" s="20" t="s">
        <v>109</v>
      </c>
      <c r="G7" s="16" t="s">
        <v>6</v>
      </c>
      <c r="H7" s="28">
        <v>3</v>
      </c>
      <c r="I7" s="28">
        <v>3</v>
      </c>
      <c r="J7" s="29">
        <f>IF(OR(Table1[[#This Row],[Likelihood (1–5)]]="",Table1[[#This Row],[Impact (1–5)]]=""),"",Table1[[#This Row],[Likelihood (1–5)]]*Table1[[#This Row],[Impact (1–5)]])</f>
        <v>9</v>
      </c>
      <c r="K7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Medium</v>
      </c>
      <c r="L7" s="19" t="s">
        <v>110</v>
      </c>
      <c r="M7" s="19" t="s">
        <v>111</v>
      </c>
      <c r="N7" s="19" t="s">
        <v>112</v>
      </c>
      <c r="O7" s="16" t="s">
        <v>12</v>
      </c>
      <c r="P7" s="19" t="s">
        <v>113</v>
      </c>
      <c r="Q7" s="16" t="s">
        <v>8</v>
      </c>
      <c r="R7" s="16" t="s">
        <v>147</v>
      </c>
      <c r="S7" s="13">
        <v>45695</v>
      </c>
      <c r="T7" s="16" t="s">
        <v>14</v>
      </c>
      <c r="U7" s="28">
        <v>2</v>
      </c>
      <c r="V7" s="28">
        <v>2</v>
      </c>
      <c r="W7" s="29">
        <f>IF(OR(Table1[[#This Row],[Residual Likelihood]]="",Table1[[#This Row],[Residual Impact]]=""),"",Table1[[#This Row],[Residual Likelihood]]*Table1[[#This Row],[Residual Impact]])</f>
        <v>4</v>
      </c>
    </row>
    <row r="8" spans="2:23" ht="45" x14ac:dyDescent="0.25">
      <c r="B8" s="16" t="s">
        <v>58</v>
      </c>
      <c r="C8" s="16" t="s">
        <v>96</v>
      </c>
      <c r="D8" s="19" t="s">
        <v>114</v>
      </c>
      <c r="E8" s="20" t="s">
        <v>115</v>
      </c>
      <c r="F8" s="20" t="s">
        <v>116</v>
      </c>
      <c r="G8" s="16" t="s">
        <v>20</v>
      </c>
      <c r="H8" s="28">
        <v>3</v>
      </c>
      <c r="I8" s="28">
        <v>4</v>
      </c>
      <c r="J8" s="29">
        <f>IF(OR(Table1[[#This Row],[Likelihood (1–5)]]="",Table1[[#This Row],[Impact (1–5)]]=""),"",Table1[[#This Row],[Likelihood (1–5)]]*Table1[[#This Row],[Impact (1–5)]])</f>
        <v>12</v>
      </c>
      <c r="K8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High</v>
      </c>
      <c r="L8" s="19" t="s">
        <v>59</v>
      </c>
      <c r="M8" s="19" t="s">
        <v>117</v>
      </c>
      <c r="N8" s="19" t="s">
        <v>118</v>
      </c>
      <c r="O8" s="16" t="s">
        <v>17</v>
      </c>
      <c r="P8" s="19" t="s">
        <v>119</v>
      </c>
      <c r="Q8" s="16" t="s">
        <v>8</v>
      </c>
      <c r="R8" s="16" t="s">
        <v>127</v>
      </c>
      <c r="S8" s="13">
        <v>45727</v>
      </c>
      <c r="T8" s="16" t="s">
        <v>14</v>
      </c>
      <c r="U8" s="28">
        <v>2</v>
      </c>
      <c r="V8" s="28">
        <v>3</v>
      </c>
      <c r="W8" s="29">
        <f>IF(OR(Table1[[#This Row],[Residual Likelihood]]="",Table1[[#This Row],[Residual Impact]]=""),"",Table1[[#This Row],[Residual Likelihood]]*Table1[[#This Row],[Residual Impact]])</f>
        <v>6</v>
      </c>
    </row>
    <row r="9" spans="2:23" ht="45" x14ac:dyDescent="0.25">
      <c r="B9" s="16" t="s">
        <v>60</v>
      </c>
      <c r="C9" s="16" t="s">
        <v>19</v>
      </c>
      <c r="D9" s="19" t="s">
        <v>61</v>
      </c>
      <c r="E9" s="20" t="s">
        <v>120</v>
      </c>
      <c r="F9" s="20" t="s">
        <v>62</v>
      </c>
      <c r="G9" s="16" t="s">
        <v>19</v>
      </c>
      <c r="H9" s="28">
        <v>2</v>
      </c>
      <c r="I9" s="28">
        <v>4</v>
      </c>
      <c r="J9" s="29">
        <f>IF(OR(Table1[[#This Row],[Likelihood (1–5)]]="",Table1[[#This Row],[Impact (1–5)]]=""),"",Table1[[#This Row],[Likelihood (1–5)]]*Table1[[#This Row],[Impact (1–5)]])</f>
        <v>8</v>
      </c>
      <c r="K9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Medium</v>
      </c>
      <c r="L9" s="19" t="s">
        <v>63</v>
      </c>
      <c r="M9" s="19" t="s">
        <v>64</v>
      </c>
      <c r="N9" s="19" t="s">
        <v>65</v>
      </c>
      <c r="O9" s="16" t="s">
        <v>17</v>
      </c>
      <c r="P9" s="19" t="s">
        <v>66</v>
      </c>
      <c r="Q9" s="16" t="s">
        <v>13</v>
      </c>
      <c r="R9" s="16" t="s">
        <v>128</v>
      </c>
      <c r="S9" s="13">
        <v>45745</v>
      </c>
      <c r="T9" s="16" t="s">
        <v>18</v>
      </c>
      <c r="U9" s="28">
        <v>1</v>
      </c>
      <c r="V9" s="28">
        <v>3</v>
      </c>
      <c r="W9" s="29">
        <f>IF(OR(Table1[[#This Row],[Residual Likelihood]]="",Table1[[#This Row],[Residual Impact]]=""),"",Table1[[#This Row],[Residual Likelihood]]*Table1[[#This Row],[Residual Impact]])</f>
        <v>3</v>
      </c>
    </row>
    <row r="10" spans="2:23" ht="60" x14ac:dyDescent="0.25">
      <c r="B10" s="16" t="s">
        <v>67</v>
      </c>
      <c r="C10" s="16" t="s">
        <v>101</v>
      </c>
      <c r="D10" s="19" t="s">
        <v>121</v>
      </c>
      <c r="E10" s="20" t="s">
        <v>68</v>
      </c>
      <c r="F10" s="20" t="s">
        <v>69</v>
      </c>
      <c r="G10" s="16" t="s">
        <v>23</v>
      </c>
      <c r="H10" s="28">
        <v>2</v>
      </c>
      <c r="I10" s="28">
        <v>4</v>
      </c>
      <c r="J10" s="29">
        <f>IF(OR(Table1[[#This Row],[Likelihood (1–5)]]="",Table1[[#This Row],[Impact (1–5)]]=""),"",Table1[[#This Row],[Likelihood (1–5)]]*Table1[[#This Row],[Impact (1–5)]])</f>
        <v>8</v>
      </c>
      <c r="K10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Medium</v>
      </c>
      <c r="L10" s="19" t="s">
        <v>70</v>
      </c>
      <c r="M10" s="19" t="s">
        <v>46</v>
      </c>
      <c r="N10" s="19" t="s">
        <v>71</v>
      </c>
      <c r="O10" s="16" t="s">
        <v>17</v>
      </c>
      <c r="P10" s="19" t="s">
        <v>72</v>
      </c>
      <c r="Q10" s="16" t="s">
        <v>13</v>
      </c>
      <c r="R10" s="16" t="s">
        <v>148</v>
      </c>
      <c r="S10" s="13">
        <v>45772</v>
      </c>
      <c r="T10" s="16" t="s">
        <v>14</v>
      </c>
      <c r="U10" s="28">
        <v>1</v>
      </c>
      <c r="V10" s="28">
        <v>3</v>
      </c>
      <c r="W10" s="29">
        <f>IF(OR(Table1[[#This Row],[Residual Likelihood]]="",Table1[[#This Row],[Residual Impact]]=""),"",Table1[[#This Row],[Residual Likelihood]]*Table1[[#This Row],[Residual Impact]])</f>
        <v>3</v>
      </c>
    </row>
    <row r="11" spans="2:23" ht="30" x14ac:dyDescent="0.25">
      <c r="B11" s="16" t="s">
        <v>73</v>
      </c>
      <c r="C11" s="16" t="s">
        <v>100</v>
      </c>
      <c r="D11" s="19" t="s">
        <v>123</v>
      </c>
      <c r="E11" s="20" t="s">
        <v>74</v>
      </c>
      <c r="F11" s="20" t="s">
        <v>122</v>
      </c>
      <c r="G11" s="16" t="s">
        <v>24</v>
      </c>
      <c r="H11" s="28">
        <v>3</v>
      </c>
      <c r="I11" s="28">
        <v>4</v>
      </c>
      <c r="J11" s="29">
        <f>IF(OR(Table1[[#This Row],[Likelihood (1–5)]]="",Table1[[#This Row],[Impact (1–5)]]=""),"",Table1[[#This Row],[Likelihood (1–5)]]*Table1[[#This Row],[Impact (1–5)]])</f>
        <v>12</v>
      </c>
      <c r="K11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High</v>
      </c>
      <c r="L11" s="19" t="s">
        <v>75</v>
      </c>
      <c r="M11" s="19" t="s">
        <v>76</v>
      </c>
      <c r="N11" s="19" t="s">
        <v>77</v>
      </c>
      <c r="O11" s="16" t="s">
        <v>17</v>
      </c>
      <c r="P11" s="19" t="s">
        <v>78</v>
      </c>
      <c r="Q11" s="16" t="s">
        <v>13</v>
      </c>
      <c r="R11" s="16" t="s">
        <v>129</v>
      </c>
      <c r="S11" s="13">
        <v>45764</v>
      </c>
      <c r="T11" s="16" t="s">
        <v>9</v>
      </c>
      <c r="U11" s="28">
        <v>2</v>
      </c>
      <c r="V11" s="28">
        <v>3</v>
      </c>
      <c r="W11" s="29">
        <f>IF(OR(Table1[[#This Row],[Residual Likelihood]]="",Table1[[#This Row],[Residual Impact]]=""),"",Table1[[#This Row],[Residual Likelihood]]*Table1[[#This Row],[Residual Impact]])</f>
        <v>6</v>
      </c>
    </row>
    <row r="12" spans="2:23" ht="90" x14ac:dyDescent="0.25">
      <c r="B12" s="16" t="s">
        <v>79</v>
      </c>
      <c r="C12" s="16" t="s">
        <v>97</v>
      </c>
      <c r="D12" s="19" t="s">
        <v>131</v>
      </c>
      <c r="E12" s="20" t="s">
        <v>132</v>
      </c>
      <c r="F12" s="20" t="s">
        <v>133</v>
      </c>
      <c r="G12" s="16" t="s">
        <v>6</v>
      </c>
      <c r="H12" s="28">
        <v>2</v>
      </c>
      <c r="I12" s="28">
        <v>2</v>
      </c>
      <c r="J12" s="29">
        <f>IF(OR(Table1[[#This Row],[Likelihood (1–5)]]="",Table1[[#This Row],[Impact (1–5)]]=""),"",Table1[[#This Row],[Likelihood (1–5)]]*Table1[[#This Row],[Impact (1–5)]])</f>
        <v>4</v>
      </c>
      <c r="K12" s="16" t="str">
        <f>IF(OR(Table1[[#This Row],[Likelihood (1–5)]]="",Table1[[#This Row],[Impact (1–5)]]=""),"",IF(Table1[[#This Row],[Risk Score]]&lt;=4,"Low",IF(Table1[[#This Row],[Risk Score]]&lt;=9,"Medium",IF(Table1[[#This Row],[Risk Score]]&lt;=14,"High","Extreme"))))</f>
        <v>Low</v>
      </c>
      <c r="L12" s="19" t="s">
        <v>134</v>
      </c>
      <c r="M12" s="19" t="s">
        <v>135</v>
      </c>
      <c r="N12" s="19" t="s">
        <v>136</v>
      </c>
      <c r="O12" s="16" t="s">
        <v>7</v>
      </c>
      <c r="P12" s="19" t="s">
        <v>137</v>
      </c>
      <c r="Q12" s="16" t="s">
        <v>13</v>
      </c>
      <c r="R12" s="16" t="s">
        <v>130</v>
      </c>
      <c r="S12" s="13">
        <v>46170</v>
      </c>
      <c r="T12" s="16" t="s">
        <v>9</v>
      </c>
      <c r="U12" s="28">
        <v>1</v>
      </c>
      <c r="V12" s="28">
        <v>2</v>
      </c>
      <c r="W12" s="29">
        <f>IF(OR(Table1[[#This Row],[Residual Likelihood]]="",Table1[[#This Row],[Residual Impact]]=""),"",Table1[[#This Row],[Residual Likelihood]]*Table1[[#This Row],[Residual Impact]])</f>
        <v>2</v>
      </c>
    </row>
  </sheetData>
  <conditionalFormatting sqref="B3:W12">
    <cfRule type="expression" dxfId="3" priority="1">
      <formula>$K3="Low"</formula>
    </cfRule>
    <cfRule type="expression" dxfId="2" priority="2">
      <formula>$K3="Medium"</formula>
    </cfRule>
    <cfRule type="expression" dxfId="1" priority="3">
      <formula>$K3="Extreme"</formula>
    </cfRule>
    <cfRule type="expression" dxfId="0" priority="4">
      <formula>$K3="High"</formula>
    </cfRule>
  </conditionalFormatting>
  <pageMargins left="0.3" right="0.3" top="0.3" bottom="0.3" header="0" footer="0"/>
  <pageSetup paperSize="3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48D2221-0C3A-4E70-9B20-3090652A098A}">
          <x14:formula1>
            <xm:f>Source!$D$3:$D$9</xm:f>
          </x14:formula1>
          <xm:sqref>G3:G12</xm:sqref>
        </x14:dataValidation>
        <x14:dataValidation type="list" allowBlank="1" showInputMessage="1" showErrorMessage="1" xr:uid="{5F33725F-E637-4628-B612-CFA63333ED2F}">
          <x14:formula1>
            <xm:f>Source!$F$3:$F$7</xm:f>
          </x14:formula1>
          <xm:sqref>H3:I12 U3:V12</xm:sqref>
        </x14:dataValidation>
        <x14:dataValidation type="list" allowBlank="1" showInputMessage="1" showErrorMessage="1" xr:uid="{9946AB7E-D393-48F6-B766-A6FF41ED46D5}">
          <x14:formula1>
            <xm:f>Source!$K$3:$K$5</xm:f>
          </x14:formula1>
          <xm:sqref>O3:O12</xm:sqref>
        </x14:dataValidation>
        <x14:dataValidation type="list" allowBlank="1" showInputMessage="1" showErrorMessage="1" xr:uid="{6ED5F644-CCB6-4E79-84CC-A95C4053F649}">
          <x14:formula1>
            <xm:f>Source!$M$3:$M$4</xm:f>
          </x14:formula1>
          <xm:sqref>Q3:Q12</xm:sqref>
        </x14:dataValidation>
        <x14:dataValidation type="list" allowBlank="1" showInputMessage="1" showErrorMessage="1" xr:uid="{95559BC5-6E91-4D6D-AA25-6124776E6476}">
          <x14:formula1>
            <xm:f>Source!$O$3:$O$6</xm:f>
          </x14:formula1>
          <xm:sqref>T3:T12</xm:sqref>
        </x14:dataValidation>
        <x14:dataValidation type="list" allowBlank="1" showInputMessage="1" showErrorMessage="1" xr:uid="{B5F5E819-1C8B-4A10-96E4-3AEB3EEF5312}">
          <x14:formula1>
            <xm:f>Source!$B$3:$B$12</xm:f>
          </x14:formula1>
          <xm:sqref>C3:C12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86CF-55D8-4DF5-AB01-EBBFC60B6600}">
  <dimension ref="B2:C7"/>
  <sheetViews>
    <sheetView showGridLines="0" tabSelected="1" workbookViewId="0">
      <selection activeCell="F20" sqref="F20"/>
    </sheetView>
  </sheetViews>
  <sheetFormatPr defaultColWidth="11.5546875" defaultRowHeight="14.4" x14ac:dyDescent="0.3"/>
  <cols>
    <col min="1" max="1" width="3" customWidth="1"/>
    <col min="2" max="2" width="21" customWidth="1"/>
  </cols>
  <sheetData>
    <row r="2" spans="2:3" ht="37.950000000000003" customHeight="1" thickBot="1" x14ac:dyDescent="0.35">
      <c r="B2" s="6" t="s">
        <v>80</v>
      </c>
      <c r="C2" s="7"/>
    </row>
    <row r="3" spans="2:3" ht="10.050000000000001" customHeight="1" x14ac:dyDescent="0.3"/>
    <row r="4" spans="2:3" ht="25.05" customHeight="1" x14ac:dyDescent="0.3">
      <c r="B4" s="8" t="s">
        <v>81</v>
      </c>
      <c r="C4" s="9">
        <f>COUNTIF('Risk Assessment Matrix'!K:K,"Low")</f>
        <v>1</v>
      </c>
    </row>
    <row r="5" spans="2:3" ht="25.05" customHeight="1" x14ac:dyDescent="0.3">
      <c r="B5" s="12" t="s">
        <v>82</v>
      </c>
      <c r="C5" s="9">
        <f>COUNTIF('Risk Assessment Matrix'!K:K,"Medium")</f>
        <v>3</v>
      </c>
    </row>
    <row r="6" spans="2:3" ht="25.05" customHeight="1" x14ac:dyDescent="0.3">
      <c r="B6" s="10" t="s">
        <v>83</v>
      </c>
      <c r="C6" s="9">
        <f>COUNTIF('Risk Assessment Matrix'!K:K,"High")</f>
        <v>4</v>
      </c>
    </row>
    <row r="7" spans="2:3" ht="25.05" customHeight="1" x14ac:dyDescent="0.3">
      <c r="B7" s="11" t="s">
        <v>138</v>
      </c>
      <c r="C7" s="9">
        <f>COUNTIF('Risk Assessment Matrix'!K:K,"Extreme")</f>
        <v>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Source</vt:lpstr>
      <vt:lpstr>Risk Assessment Matrix</vt:lpstr>
      <vt:lpstr>Risk Summary</vt:lpstr>
      <vt:lpstr>'Risk Assessment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Rahmawati</dc:creator>
  <cp:lastModifiedBy>Irma Rahmawati</cp:lastModifiedBy>
  <cp:lastPrinted>2026-01-06T23:55:14Z</cp:lastPrinted>
  <dcterms:created xsi:type="dcterms:W3CDTF">2026-01-03T14:56:39Z</dcterms:created>
  <dcterms:modified xsi:type="dcterms:W3CDTF">2026-01-07T16:04:21Z</dcterms:modified>
</cp:coreProperties>
</file>